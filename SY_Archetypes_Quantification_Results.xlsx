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 Zune\Documents\Python_Study_materails\SY-domestic-EPC_GIS\SYSC_CarbonBudget_Archetypes\"/>
    </mc:Choice>
  </mc:AlternateContent>
  <xr:revisionPtr revIDLastSave="0" documentId="13_ncr:1_{C1EA1245-33C9-43A7-B792-E3A2F814D018}" xr6:coauthVersionLast="47" xr6:coauthVersionMax="47" xr10:uidLastSave="{00000000-0000-0000-0000-000000000000}"/>
  <bookViews>
    <workbookView xWindow="-108" yWindow="-108" windowWidth="23256" windowHeight="13896" activeTab="1" xr2:uid="{2B6316B3-D84E-4FB2-B969-3277AB3CDBF9}"/>
  </bookViews>
  <sheets>
    <sheet name="archetypes" sheetId="1" r:id="rId1"/>
    <sheet name="stocksiz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C2" i="2"/>
  <c r="B2" i="2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R17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O17" i="1"/>
  <c r="N17" i="1"/>
  <c r="O15" i="1" l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J23" i="1"/>
  <c r="J22" i="1"/>
  <c r="J21" i="1"/>
  <c r="N8" i="1"/>
  <c r="N4" i="1"/>
  <c r="N3" i="1"/>
  <c r="N2" i="1"/>
  <c r="N6" i="1"/>
  <c r="N5" i="1"/>
  <c r="F42" i="1"/>
  <c r="F41" i="1"/>
  <c r="F40" i="1"/>
  <c r="F35" i="1"/>
  <c r="F28" i="1"/>
  <c r="F34" i="1"/>
  <c r="F33" i="1"/>
  <c r="F27" i="1"/>
  <c r="F26" i="1"/>
  <c r="F29" i="1" s="1"/>
  <c r="N14" i="1" s="1"/>
  <c r="F21" i="1"/>
  <c r="F23" i="1" s="1"/>
  <c r="N7" i="1" s="1"/>
  <c r="F43" i="1" l="1"/>
  <c r="N10" i="1" s="1"/>
  <c r="F44" i="1"/>
  <c r="N11" i="1" s="1"/>
  <c r="F36" i="1"/>
  <c r="N12" i="1" s="1"/>
  <c r="F37" i="1"/>
  <c r="N13" i="1" s="1"/>
  <c r="F30" i="1"/>
  <c r="N15" i="1" s="1"/>
  <c r="F22" i="1"/>
  <c r="N9" i="1" s="1"/>
</calcChain>
</file>

<file path=xl/sharedStrings.xml><?xml version="1.0" encoding="utf-8"?>
<sst xmlns="http://schemas.openxmlformats.org/spreadsheetml/2006/main" count="149" uniqueCount="35">
  <si>
    <t>Archetype</t>
  </si>
  <si>
    <t>Verisk</t>
  </si>
  <si>
    <t>B-SD</t>
  </si>
  <si>
    <t>B-DT</t>
  </si>
  <si>
    <t>DT-L or DT-V</t>
  </si>
  <si>
    <t>DT-R</t>
  </si>
  <si>
    <t xml:space="preserve">SD-S </t>
  </si>
  <si>
    <t>SD-R</t>
  </si>
  <si>
    <t>SD-V</t>
  </si>
  <si>
    <t>TR-M</t>
  </si>
  <si>
    <t>TV-M</t>
  </si>
  <si>
    <t>TG-M</t>
  </si>
  <si>
    <t>TR-E</t>
  </si>
  <si>
    <t>TV-E</t>
  </si>
  <si>
    <t>TG-E</t>
  </si>
  <si>
    <t>TR</t>
  </si>
  <si>
    <t>TV</t>
  </si>
  <si>
    <t>TG</t>
  </si>
  <si>
    <t>premise_floor_count &gt; 2</t>
  </si>
  <si>
    <t>premise_floor_count &lt;= 2</t>
  </si>
  <si>
    <t>DT-L</t>
  </si>
  <si>
    <t>DT-V</t>
  </si>
  <si>
    <t>final</t>
  </si>
  <si>
    <t>pre</t>
  </si>
  <si>
    <t xml:space="preserve">TR </t>
  </si>
  <si>
    <t>EPC</t>
  </si>
  <si>
    <t>SD-S</t>
  </si>
  <si>
    <t>*DT-V</t>
  </si>
  <si>
    <t>T-GE</t>
  </si>
  <si>
    <t>*SD-V</t>
  </si>
  <si>
    <t>T-GM</t>
  </si>
  <si>
    <t>*T-VE</t>
  </si>
  <si>
    <t>*T-VM</t>
  </si>
  <si>
    <t>*T-RE</t>
  </si>
  <si>
    <t>*T-RM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</si>
</sst>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1" fillId="0" borderId="0" xfId="0" applyFont="1" applyAlignment="1">
      <alignment vertical="center"/>
    </xf>
    <xf numFmtId="0" fontId="0" fillId="3" borderId="0" xfId="0" applyFill="1"/>
    <xf numFmtId="0" fontId="1" fillId="0" borderId="1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0" fillId="4" borderId="4" xfId="0" applyFill="1" applyBorder="1" applyAlignment="1">
      <alignment horizontal="center"/>
    </xf>
    <xf numFmtId="0" fontId="0" fillId="0" borderId="5" xfId="0" applyBorder="1"/>
    <xf numFmtId="0" fontId="0" fillId="4" borderId="6" xfId="0" applyFill="1" applyBorder="1" applyAlignment="1">
      <alignment horizontal="center"/>
    </xf>
    <xf numFmtId="1" fontId="0" fillId="0" borderId="5" xfId="0" applyNumberFormat="1" applyBorder="1"/>
    <xf numFmtId="0" fontId="0" fillId="4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8" xfId="0" applyNumberFormat="1" applyBorder="1"/>
    <xf numFmtId="1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GB"/>
              <a:t>(A) Comparison of Stock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61875000000001"/>
          <c:y val="0.21043194444444444"/>
          <c:w val="0.80104328703703709"/>
          <c:h val="0.566916203703703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archetypes!$R$1</c:f>
              <c:strCache>
                <c:ptCount val="1"/>
                <c:pt idx="0">
                  <c:v>Verisk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archetypes!$Q$2:$Q$15</c:f>
              <c:strCache>
                <c:ptCount val="14"/>
                <c:pt idx="0">
                  <c:v>*DT-V</c:v>
                </c:pt>
                <c:pt idx="1">
                  <c:v>DT-L</c:v>
                </c:pt>
                <c:pt idx="2">
                  <c:v>T-GE</c:v>
                </c:pt>
                <c:pt idx="3">
                  <c:v>*SD-V</c:v>
                </c:pt>
                <c:pt idx="4">
                  <c:v>T-GM</c:v>
                </c:pt>
                <c:pt idx="5">
                  <c:v>*T-VE</c:v>
                </c:pt>
                <c:pt idx="6">
                  <c:v>B-DT</c:v>
                </c:pt>
                <c:pt idx="7">
                  <c:v>*T-VM</c:v>
                </c:pt>
                <c:pt idx="8">
                  <c:v>DT-R</c:v>
                </c:pt>
                <c:pt idx="9">
                  <c:v>SD-S</c:v>
                </c:pt>
                <c:pt idx="10">
                  <c:v>*T-RE</c:v>
                </c:pt>
                <c:pt idx="11">
                  <c:v>SD-R</c:v>
                </c:pt>
                <c:pt idx="12">
                  <c:v>B-SD</c:v>
                </c:pt>
                <c:pt idx="13">
                  <c:v>*T-RM</c:v>
                </c:pt>
              </c:strCache>
            </c:strRef>
          </c:cat>
          <c:val>
            <c:numRef>
              <c:f>archetypes!$R$2:$R$15</c:f>
              <c:numCache>
                <c:formatCode>General</c:formatCode>
                <c:ptCount val="14"/>
                <c:pt idx="0">
                  <c:v>35529</c:v>
                </c:pt>
                <c:pt idx="1">
                  <c:v>30448</c:v>
                </c:pt>
                <c:pt idx="2" formatCode="0">
                  <c:v>4859</c:v>
                </c:pt>
                <c:pt idx="3">
                  <c:v>45367</c:v>
                </c:pt>
                <c:pt idx="4" formatCode="0">
                  <c:v>4894</c:v>
                </c:pt>
                <c:pt idx="5" formatCode="0">
                  <c:v>21068</c:v>
                </c:pt>
                <c:pt idx="6">
                  <c:v>17001</c:v>
                </c:pt>
                <c:pt idx="7" formatCode="0">
                  <c:v>30876</c:v>
                </c:pt>
                <c:pt idx="8">
                  <c:v>27446</c:v>
                </c:pt>
                <c:pt idx="9">
                  <c:v>109739</c:v>
                </c:pt>
                <c:pt idx="10">
                  <c:v>24716</c:v>
                </c:pt>
                <c:pt idx="11">
                  <c:v>61095</c:v>
                </c:pt>
                <c:pt idx="12">
                  <c:v>17547</c:v>
                </c:pt>
                <c:pt idx="13">
                  <c:v>53131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A-49E7-A6F2-9015F512001A}"/>
            </c:ext>
          </c:extLst>
        </c:ser>
        <c:ser>
          <c:idx val="1"/>
          <c:order val="1"/>
          <c:tx>
            <c:strRef>
              <c:f>archetypes!$S$1</c:f>
              <c:strCache>
                <c:ptCount val="1"/>
                <c:pt idx="0">
                  <c:v>EPC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archetypes!$Q$2:$Q$15</c:f>
              <c:strCache>
                <c:ptCount val="14"/>
                <c:pt idx="0">
                  <c:v>*DT-V</c:v>
                </c:pt>
                <c:pt idx="1">
                  <c:v>DT-L</c:v>
                </c:pt>
                <c:pt idx="2">
                  <c:v>T-GE</c:v>
                </c:pt>
                <c:pt idx="3">
                  <c:v>*SD-V</c:v>
                </c:pt>
                <c:pt idx="4">
                  <c:v>T-GM</c:v>
                </c:pt>
                <c:pt idx="5">
                  <c:v>*T-VE</c:v>
                </c:pt>
                <c:pt idx="6">
                  <c:v>B-DT</c:v>
                </c:pt>
                <c:pt idx="7">
                  <c:v>*T-VM</c:v>
                </c:pt>
                <c:pt idx="8">
                  <c:v>DT-R</c:v>
                </c:pt>
                <c:pt idx="9">
                  <c:v>SD-S</c:v>
                </c:pt>
                <c:pt idx="10">
                  <c:v>*T-RE</c:v>
                </c:pt>
                <c:pt idx="11">
                  <c:v>SD-R</c:v>
                </c:pt>
                <c:pt idx="12">
                  <c:v>B-SD</c:v>
                </c:pt>
                <c:pt idx="13">
                  <c:v>*T-RM</c:v>
                </c:pt>
              </c:strCache>
            </c:strRef>
          </c:cat>
          <c:val>
            <c:numRef>
              <c:f>archetypes!$S$2:$S$15</c:f>
              <c:numCache>
                <c:formatCode>General</c:formatCode>
                <c:ptCount val="14"/>
                <c:pt idx="0">
                  <c:v>8339.5</c:v>
                </c:pt>
                <c:pt idx="1">
                  <c:v>3697.6666666666665</c:v>
                </c:pt>
                <c:pt idx="2" formatCode="0">
                  <c:v>30</c:v>
                </c:pt>
                <c:pt idx="3">
                  <c:v>4926</c:v>
                </c:pt>
                <c:pt idx="4" formatCode="0">
                  <c:v>385</c:v>
                </c:pt>
                <c:pt idx="5" formatCode="0">
                  <c:v>4819</c:v>
                </c:pt>
                <c:pt idx="6">
                  <c:v>21349</c:v>
                </c:pt>
                <c:pt idx="7" formatCode="0">
                  <c:v>9060</c:v>
                </c:pt>
                <c:pt idx="8">
                  <c:v>42502</c:v>
                </c:pt>
                <c:pt idx="9">
                  <c:v>23119</c:v>
                </c:pt>
                <c:pt idx="10">
                  <c:v>42253</c:v>
                </c:pt>
                <c:pt idx="11">
                  <c:v>143479</c:v>
                </c:pt>
                <c:pt idx="12">
                  <c:v>28810</c:v>
                </c:pt>
                <c:pt idx="13">
                  <c:v>88455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A-49E7-A6F2-9015F5120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343833887"/>
        <c:axId val="343831007"/>
      </c:barChart>
      <c:catAx>
        <c:axId val="34383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43831007"/>
        <c:crosses val="autoZero"/>
        <c:auto val="1"/>
        <c:lblAlgn val="ctr"/>
        <c:lblOffset val="100"/>
        <c:noMultiLvlLbl val="0"/>
      </c:catAx>
      <c:valAx>
        <c:axId val="343831007"/>
        <c:scaling>
          <c:orientation val="minMax"/>
          <c:max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43833887"/>
        <c:crosses val="autoZero"/>
        <c:crossBetween val="between"/>
        <c:majorUnit val="3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582615740740742"/>
          <c:y val="0.21625"/>
          <c:w val="0.24745925925925927"/>
          <c:h val="0.1099004629629629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373380</xdr:colOff>
      <xdr:row>19</xdr:row>
      <xdr:rowOff>30480</xdr:rowOff>
    </xdr:from>
    <xdr:to>
      <xdr:col>18</xdr:col>
      <xdr:colOff>540480</xdr:colOff>
      <xdr:row>30</xdr:row>
      <xdr:rowOff>178800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E404D-2BA4-481D-8AC0-AD3C06D54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29C0-CF04-4112-B0AA-668E6E9E1DB0}">
  <dimension ref="D1:T44"/>
  <sheetViews>
    <sheetView topLeftCell="B1" workbookViewId="0">
      <pane ySplit="1" topLeftCell="A2" activePane="bottomLeft" state="frozen"/>
      <selection pane="bottomLeft" activeCell="Q1" sqref="Q1:S15"/>
    </sheetView>
  </sheetViews>
  <sheetFormatPr defaultRowHeight="14.4" x14ac:dyDescent="0.3"/>
  <cols>
    <col min="5" max="5" width="24.44140625" customWidth="1"/>
    <col min="9" max="9" width="22.33203125" bestFit="1" customWidth="1"/>
    <col min="13" max="13" width="16.109375" customWidth="1"/>
  </cols>
  <sheetData>
    <row r="1" spans="4:19" s="1" customFormat="1" x14ac:dyDescent="0.3">
      <c r="E1" s="5" t="s">
        <v>0</v>
      </c>
      <c r="F1" s="1" t="s">
        <v>1</v>
      </c>
      <c r="I1" s="5" t="s">
        <v>0</v>
      </c>
      <c r="J1" s="1" t="s">
        <v>25</v>
      </c>
      <c r="M1" s="5" t="s">
        <v>0</v>
      </c>
      <c r="N1" s="1" t="s">
        <v>1</v>
      </c>
      <c r="O1" s="1" t="s">
        <v>25</v>
      </c>
      <c r="Q1" s="7" t="s">
        <v>0</v>
      </c>
      <c r="R1" s="8" t="s">
        <v>1</v>
      </c>
      <c r="S1" s="9" t="s">
        <v>25</v>
      </c>
    </row>
    <row r="2" spans="4:19" x14ac:dyDescent="0.3">
      <c r="D2" t="s">
        <v>22</v>
      </c>
      <c r="E2" s="2" t="s">
        <v>2</v>
      </c>
      <c r="F2" s="2">
        <v>17547</v>
      </c>
      <c r="H2" t="s">
        <v>22</v>
      </c>
      <c r="I2" t="s">
        <v>2</v>
      </c>
      <c r="J2">
        <v>28810</v>
      </c>
      <c r="M2" t="s">
        <v>8</v>
      </c>
      <c r="N2">
        <f>F8</f>
        <v>45367</v>
      </c>
      <c r="O2">
        <f>J8</f>
        <v>4926</v>
      </c>
      <c r="Q2" s="10" t="s">
        <v>27</v>
      </c>
      <c r="R2">
        <f>N7</f>
        <v>35529</v>
      </c>
      <c r="S2" s="11">
        <f>O7</f>
        <v>8339.5</v>
      </c>
    </row>
    <row r="3" spans="4:19" x14ac:dyDescent="0.3">
      <c r="D3" t="s">
        <v>22</v>
      </c>
      <c r="E3" s="2" t="s">
        <v>3</v>
      </c>
      <c r="F3" s="2">
        <v>17001</v>
      </c>
      <c r="H3" t="s">
        <v>22</v>
      </c>
      <c r="I3" t="s">
        <v>3</v>
      </c>
      <c r="J3">
        <v>21349</v>
      </c>
      <c r="M3" t="s">
        <v>7</v>
      </c>
      <c r="N3">
        <f>F7</f>
        <v>61095</v>
      </c>
      <c r="O3">
        <f>J6</f>
        <v>143479</v>
      </c>
      <c r="Q3" s="12" t="s">
        <v>20</v>
      </c>
      <c r="R3">
        <f>N9</f>
        <v>30448</v>
      </c>
      <c r="S3" s="11">
        <f>O9</f>
        <v>3697.6666666666665</v>
      </c>
    </row>
    <row r="4" spans="4:19" x14ac:dyDescent="0.3">
      <c r="E4" t="s">
        <v>4</v>
      </c>
      <c r="F4">
        <v>65977</v>
      </c>
      <c r="H4" t="s">
        <v>22</v>
      </c>
      <c r="I4" t="s">
        <v>5</v>
      </c>
      <c r="J4">
        <v>42502</v>
      </c>
      <c r="M4" t="s">
        <v>6</v>
      </c>
      <c r="N4">
        <f>F6</f>
        <v>109739</v>
      </c>
      <c r="O4">
        <f>J7</f>
        <v>23119</v>
      </c>
      <c r="Q4" s="12" t="s">
        <v>28</v>
      </c>
      <c r="R4" s="3">
        <f>N11</f>
        <v>4859</v>
      </c>
      <c r="S4" s="13">
        <f>O11</f>
        <v>30</v>
      </c>
    </row>
    <row r="5" spans="4:19" x14ac:dyDescent="0.3">
      <c r="D5" t="s">
        <v>22</v>
      </c>
      <c r="E5" s="2" t="s">
        <v>5</v>
      </c>
      <c r="F5" s="2">
        <v>27446</v>
      </c>
      <c r="I5" t="s">
        <v>4</v>
      </c>
      <c r="J5">
        <v>13886</v>
      </c>
      <c r="M5" t="s">
        <v>2</v>
      </c>
      <c r="N5">
        <f>F2</f>
        <v>17547</v>
      </c>
      <c r="O5">
        <f>J2</f>
        <v>28810</v>
      </c>
      <c r="Q5" s="12" t="s">
        <v>29</v>
      </c>
      <c r="R5">
        <f>N2</f>
        <v>45367</v>
      </c>
      <c r="S5" s="11">
        <f>O2</f>
        <v>4926</v>
      </c>
    </row>
    <row r="6" spans="4:19" x14ac:dyDescent="0.3">
      <c r="D6" t="s">
        <v>22</v>
      </c>
      <c r="E6" s="2" t="s">
        <v>6</v>
      </c>
      <c r="F6" s="2">
        <v>109739</v>
      </c>
      <c r="H6" t="s">
        <v>22</v>
      </c>
      <c r="I6" t="s">
        <v>7</v>
      </c>
      <c r="J6">
        <v>143479</v>
      </c>
      <c r="M6" t="s">
        <v>3</v>
      </c>
      <c r="N6">
        <f>F3</f>
        <v>17001</v>
      </c>
      <c r="O6">
        <f>J3</f>
        <v>21349</v>
      </c>
      <c r="Q6" s="12" t="s">
        <v>30</v>
      </c>
      <c r="R6" s="3">
        <f>N10</f>
        <v>4894</v>
      </c>
      <c r="S6" s="13">
        <f>O10</f>
        <v>385</v>
      </c>
    </row>
    <row r="7" spans="4:19" x14ac:dyDescent="0.3">
      <c r="D7" t="s">
        <v>22</v>
      </c>
      <c r="E7" s="2" t="s">
        <v>7</v>
      </c>
      <c r="F7" s="2">
        <v>61095</v>
      </c>
      <c r="H7" t="s">
        <v>22</v>
      </c>
      <c r="I7" t="s">
        <v>26</v>
      </c>
      <c r="J7">
        <v>23119</v>
      </c>
      <c r="M7" t="s">
        <v>21</v>
      </c>
      <c r="N7">
        <f>F23</f>
        <v>35529</v>
      </c>
      <c r="O7" s="3">
        <f>J23</f>
        <v>8339.5</v>
      </c>
      <c r="Q7" s="12" t="s">
        <v>31</v>
      </c>
      <c r="R7" s="3">
        <f>N13</f>
        <v>21068</v>
      </c>
      <c r="S7" s="13">
        <f>O13</f>
        <v>4819</v>
      </c>
    </row>
    <row r="8" spans="4:19" x14ac:dyDescent="0.3">
      <c r="D8" t="s">
        <v>22</v>
      </c>
      <c r="E8" s="2" t="s">
        <v>8</v>
      </c>
      <c r="F8" s="2">
        <v>45367</v>
      </c>
      <c r="H8" t="s">
        <v>22</v>
      </c>
      <c r="I8" t="s">
        <v>8</v>
      </c>
      <c r="J8">
        <v>4926</v>
      </c>
      <c r="M8" t="s">
        <v>5</v>
      </c>
      <c r="N8">
        <f>F5</f>
        <v>27446</v>
      </c>
      <c r="O8">
        <f>J4</f>
        <v>42502</v>
      </c>
      <c r="Q8" s="12" t="s">
        <v>3</v>
      </c>
      <c r="R8">
        <f>N6</f>
        <v>17001</v>
      </c>
      <c r="S8" s="11">
        <f>O6</f>
        <v>21349</v>
      </c>
    </row>
    <row r="9" spans="4:19" x14ac:dyDescent="0.3">
      <c r="E9" t="s">
        <v>9</v>
      </c>
      <c r="F9">
        <v>45102</v>
      </c>
      <c r="H9" t="s">
        <v>22</v>
      </c>
      <c r="I9" t="s">
        <v>9</v>
      </c>
      <c r="J9">
        <v>88455</v>
      </c>
      <c r="M9" t="s">
        <v>20</v>
      </c>
      <c r="N9">
        <f>F22</f>
        <v>30448</v>
      </c>
      <c r="O9" s="3">
        <f>J22</f>
        <v>3697.6666666666665</v>
      </c>
      <c r="Q9" s="12" t="s">
        <v>32</v>
      </c>
      <c r="R9" s="3">
        <f>N12</f>
        <v>30876</v>
      </c>
      <c r="S9" s="13">
        <f>O12</f>
        <v>9060</v>
      </c>
    </row>
    <row r="10" spans="4:19" x14ac:dyDescent="0.3">
      <c r="E10" t="s">
        <v>10</v>
      </c>
      <c r="F10">
        <v>25417</v>
      </c>
      <c r="H10" t="s">
        <v>22</v>
      </c>
      <c r="I10" t="s">
        <v>10</v>
      </c>
      <c r="J10">
        <v>9060</v>
      </c>
      <c r="M10" t="s">
        <v>11</v>
      </c>
      <c r="N10" s="3">
        <f>F43</f>
        <v>4894</v>
      </c>
      <c r="O10">
        <f>J11</f>
        <v>385</v>
      </c>
      <c r="Q10" s="12" t="s">
        <v>5</v>
      </c>
      <c r="R10">
        <f>N8</f>
        <v>27446</v>
      </c>
      <c r="S10" s="11">
        <f>O8</f>
        <v>42502</v>
      </c>
    </row>
    <row r="11" spans="4:19" x14ac:dyDescent="0.3">
      <c r="E11" t="s">
        <v>11</v>
      </c>
      <c r="F11">
        <v>1460</v>
      </c>
      <c r="H11" t="s">
        <v>22</v>
      </c>
      <c r="I11" t="s">
        <v>11</v>
      </c>
      <c r="J11">
        <v>385</v>
      </c>
      <c r="M11" t="s">
        <v>14</v>
      </c>
      <c r="N11" s="3">
        <f>F44</f>
        <v>4859</v>
      </c>
      <c r="O11">
        <f>J14</f>
        <v>30</v>
      </c>
      <c r="Q11" s="12" t="s">
        <v>26</v>
      </c>
      <c r="R11">
        <f>N4</f>
        <v>109739</v>
      </c>
      <c r="S11" s="11">
        <f>O4</f>
        <v>23119</v>
      </c>
    </row>
    <row r="12" spans="4:19" x14ac:dyDescent="0.3">
      <c r="E12" t="s">
        <v>12</v>
      </c>
      <c r="F12">
        <v>16687</v>
      </c>
      <c r="H12" t="s">
        <v>22</v>
      </c>
      <c r="I12" t="s">
        <v>12</v>
      </c>
      <c r="J12">
        <v>42253</v>
      </c>
      <c r="M12" t="s">
        <v>10</v>
      </c>
      <c r="N12" s="3">
        <f>F36</f>
        <v>30876</v>
      </c>
      <c r="O12">
        <f>J10</f>
        <v>9060</v>
      </c>
      <c r="Q12" s="12" t="s">
        <v>33</v>
      </c>
      <c r="R12">
        <f>N15</f>
        <v>24716</v>
      </c>
      <c r="S12" s="11">
        <f>O15</f>
        <v>42253</v>
      </c>
    </row>
    <row r="13" spans="4:19" x14ac:dyDescent="0.3">
      <c r="E13" t="s">
        <v>13</v>
      </c>
      <c r="F13">
        <v>15609</v>
      </c>
      <c r="H13" t="s">
        <v>22</v>
      </c>
      <c r="I13" t="s">
        <v>13</v>
      </c>
      <c r="J13">
        <v>4819</v>
      </c>
      <c r="M13" t="s">
        <v>13</v>
      </c>
      <c r="N13" s="3">
        <f>F37</f>
        <v>21068</v>
      </c>
      <c r="O13">
        <f>J13</f>
        <v>4819</v>
      </c>
      <c r="Q13" s="12" t="s">
        <v>7</v>
      </c>
      <c r="R13">
        <f>N3</f>
        <v>61095</v>
      </c>
      <c r="S13" s="11">
        <f>O3</f>
        <v>143479</v>
      </c>
    </row>
    <row r="14" spans="4:19" x14ac:dyDescent="0.3">
      <c r="E14" t="s">
        <v>14</v>
      </c>
      <c r="F14">
        <v>1425</v>
      </c>
      <c r="H14" t="s">
        <v>22</v>
      </c>
      <c r="I14" t="s">
        <v>14</v>
      </c>
      <c r="J14">
        <v>30</v>
      </c>
      <c r="M14" t="s">
        <v>9</v>
      </c>
      <c r="N14">
        <f>F29</f>
        <v>53131</v>
      </c>
      <c r="O14">
        <f>J9</f>
        <v>88455</v>
      </c>
      <c r="Q14" s="12" t="s">
        <v>2</v>
      </c>
      <c r="R14">
        <f>N5</f>
        <v>17547</v>
      </c>
      <c r="S14" s="11">
        <f>O5</f>
        <v>28810</v>
      </c>
    </row>
    <row r="15" spans="4:19" ht="15" thickBot="1" x14ac:dyDescent="0.35">
      <c r="E15" t="s">
        <v>15</v>
      </c>
      <c r="F15">
        <v>16058</v>
      </c>
      <c r="M15" t="s">
        <v>12</v>
      </c>
      <c r="N15">
        <f>F30</f>
        <v>24716</v>
      </c>
      <c r="O15">
        <f>J12</f>
        <v>42253</v>
      </c>
      <c r="Q15" s="14" t="s">
        <v>34</v>
      </c>
      <c r="R15" s="15">
        <f>N14</f>
        <v>53131</v>
      </c>
      <c r="S15" s="16">
        <f>O14</f>
        <v>88455</v>
      </c>
    </row>
    <row r="16" spans="4:19" x14ac:dyDescent="0.3">
      <c r="E16" t="s">
        <v>16</v>
      </c>
      <c r="F16">
        <v>10918</v>
      </c>
    </row>
    <row r="17" spans="4:20" x14ac:dyDescent="0.3">
      <c r="E17" t="s">
        <v>17</v>
      </c>
      <c r="F17">
        <v>6868</v>
      </c>
      <c r="N17" s="3">
        <f>SUM(N2:N15)</f>
        <v>483716</v>
      </c>
      <c r="O17" s="3">
        <f>SUM(O2:O15)</f>
        <v>421224.16666666669</v>
      </c>
      <c r="R17" s="3">
        <f>SUM(R2:R15)</f>
        <v>483716</v>
      </c>
    </row>
    <row r="19" spans="4:20" x14ac:dyDescent="0.3">
      <c r="E19" s="1" t="s">
        <v>4</v>
      </c>
      <c r="I19" s="1" t="s">
        <v>4</v>
      </c>
      <c r="M19" s="6"/>
      <c r="N19" s="6"/>
      <c r="O19" s="6"/>
      <c r="P19" s="6"/>
      <c r="Q19" s="6"/>
      <c r="R19" s="6"/>
      <c r="S19" s="6"/>
      <c r="T19" s="6"/>
    </row>
    <row r="20" spans="4:20" x14ac:dyDescent="0.3">
      <c r="E20" t="s">
        <v>18</v>
      </c>
      <c r="F20">
        <v>5081</v>
      </c>
      <c r="I20" t="s">
        <v>18</v>
      </c>
      <c r="J20">
        <v>2793</v>
      </c>
      <c r="M20" s="6"/>
      <c r="N20" s="6"/>
      <c r="O20" s="6"/>
      <c r="P20" s="6"/>
      <c r="Q20" s="6"/>
      <c r="R20" s="6"/>
      <c r="S20" s="6"/>
      <c r="T20" s="6"/>
    </row>
    <row r="21" spans="4:20" x14ac:dyDescent="0.3">
      <c r="E21" t="s">
        <v>19</v>
      </c>
      <c r="F21">
        <f>F4-F20</f>
        <v>60896</v>
      </c>
      <c r="I21" t="s">
        <v>19</v>
      </c>
      <c r="J21" s="3">
        <f>J5-J20</f>
        <v>11093</v>
      </c>
      <c r="M21" s="6"/>
      <c r="N21" s="6"/>
      <c r="O21" s="6"/>
      <c r="P21" s="6"/>
      <c r="Q21" s="6"/>
      <c r="R21" s="6"/>
      <c r="S21" s="6"/>
      <c r="T21" s="6"/>
    </row>
    <row r="22" spans="4:20" x14ac:dyDescent="0.3">
      <c r="D22" t="s">
        <v>22</v>
      </c>
      <c r="E22" s="2" t="s">
        <v>20</v>
      </c>
      <c r="F22" s="2">
        <f>F21/2</f>
        <v>30448</v>
      </c>
      <c r="H22" t="s">
        <v>22</v>
      </c>
      <c r="I22" s="2" t="s">
        <v>20</v>
      </c>
      <c r="J22" s="4">
        <f>J21/3</f>
        <v>3697.6666666666665</v>
      </c>
      <c r="M22" s="6"/>
      <c r="N22" s="6"/>
      <c r="O22" s="6"/>
      <c r="P22" s="6"/>
      <c r="Q22" s="6"/>
      <c r="R22" s="6"/>
      <c r="S22" s="6"/>
      <c r="T22" s="6"/>
    </row>
    <row r="23" spans="4:20" x14ac:dyDescent="0.3">
      <c r="D23" t="s">
        <v>22</v>
      </c>
      <c r="E23" s="2" t="s">
        <v>21</v>
      </c>
      <c r="F23" s="2">
        <f>(F21/2)+F20</f>
        <v>35529</v>
      </c>
      <c r="H23" t="s">
        <v>22</v>
      </c>
      <c r="I23" s="2" t="s">
        <v>21</v>
      </c>
      <c r="J23" s="4">
        <f>(J21/2)+J20</f>
        <v>8339.5</v>
      </c>
      <c r="M23" s="6"/>
      <c r="N23" s="6"/>
      <c r="O23" s="6"/>
      <c r="P23" s="6"/>
      <c r="Q23" s="6"/>
      <c r="R23" s="6"/>
      <c r="S23" s="6"/>
      <c r="T23" s="6"/>
    </row>
    <row r="24" spans="4:20" x14ac:dyDescent="0.3">
      <c r="M24" s="6"/>
      <c r="N24" s="6"/>
      <c r="O24" s="6"/>
      <c r="P24" s="6"/>
      <c r="Q24" s="6"/>
      <c r="R24" s="6"/>
      <c r="S24" s="6"/>
      <c r="T24" s="6"/>
    </row>
    <row r="25" spans="4:20" x14ac:dyDescent="0.3">
      <c r="E25" s="1" t="s">
        <v>24</v>
      </c>
      <c r="M25" s="6"/>
      <c r="N25" s="6"/>
      <c r="O25" s="6"/>
      <c r="P25" s="6"/>
      <c r="Q25" s="6"/>
      <c r="R25" s="6"/>
      <c r="S25" s="6"/>
      <c r="T25" s="6"/>
    </row>
    <row r="26" spans="4:20" x14ac:dyDescent="0.3">
      <c r="D26" t="s">
        <v>23</v>
      </c>
      <c r="E26" t="s">
        <v>9</v>
      </c>
      <c r="F26">
        <f>F9</f>
        <v>45102</v>
      </c>
      <c r="M26" s="6"/>
      <c r="N26" s="6"/>
      <c r="O26" s="6"/>
      <c r="P26" s="6"/>
      <c r="Q26" s="6"/>
      <c r="R26" s="6"/>
      <c r="S26" s="6"/>
      <c r="T26" s="6"/>
    </row>
    <row r="27" spans="4:20" x14ac:dyDescent="0.3">
      <c r="D27" t="s">
        <v>23</v>
      </c>
      <c r="E27" t="s">
        <v>12</v>
      </c>
      <c r="F27">
        <f>F12</f>
        <v>16687</v>
      </c>
      <c r="M27" s="6"/>
      <c r="N27" s="6"/>
      <c r="O27" s="6"/>
      <c r="P27" s="6"/>
      <c r="Q27" s="6"/>
      <c r="R27" s="6"/>
      <c r="S27" s="6"/>
      <c r="T27" s="6"/>
    </row>
    <row r="28" spans="4:20" x14ac:dyDescent="0.3">
      <c r="D28" t="s">
        <v>23</v>
      </c>
      <c r="E28" t="s">
        <v>15</v>
      </c>
      <c r="F28">
        <f>F15</f>
        <v>16058</v>
      </c>
      <c r="M28" s="6"/>
      <c r="N28" s="6"/>
      <c r="O28" s="6"/>
      <c r="P28" s="6"/>
      <c r="Q28" s="6"/>
      <c r="R28" s="6"/>
      <c r="S28" s="6"/>
      <c r="T28" s="6"/>
    </row>
    <row r="29" spans="4:20" x14ac:dyDescent="0.3">
      <c r="D29" t="s">
        <v>22</v>
      </c>
      <c r="E29" s="2" t="s">
        <v>9</v>
      </c>
      <c r="F29" s="2">
        <f>F26+(F28/2)</f>
        <v>53131</v>
      </c>
      <c r="M29" s="6"/>
      <c r="N29" s="6"/>
      <c r="O29" s="6"/>
      <c r="P29" s="6"/>
      <c r="Q29" s="6"/>
      <c r="R29" s="6"/>
      <c r="S29" s="6"/>
      <c r="T29" s="6"/>
    </row>
    <row r="30" spans="4:20" x14ac:dyDescent="0.3">
      <c r="D30" t="s">
        <v>22</v>
      </c>
      <c r="E30" s="2" t="s">
        <v>12</v>
      </c>
      <c r="F30" s="2">
        <f>F27+(F28/2)</f>
        <v>24716</v>
      </c>
      <c r="M30" s="6"/>
      <c r="N30" s="6"/>
      <c r="O30" s="6"/>
      <c r="P30" s="6"/>
      <c r="Q30" s="6"/>
      <c r="R30" s="6"/>
      <c r="S30" s="6"/>
      <c r="T30" s="6"/>
    </row>
    <row r="31" spans="4:20" x14ac:dyDescent="0.3">
      <c r="M31" s="6"/>
      <c r="N31" s="6"/>
      <c r="O31" s="6"/>
      <c r="P31" s="6"/>
      <c r="Q31" s="6"/>
      <c r="R31" s="6"/>
      <c r="S31" s="6"/>
      <c r="T31" s="6"/>
    </row>
    <row r="32" spans="4:20" x14ac:dyDescent="0.3">
      <c r="E32" s="1" t="s">
        <v>16</v>
      </c>
      <c r="M32" s="6"/>
      <c r="N32" s="6"/>
      <c r="O32" s="6"/>
      <c r="P32" s="6"/>
      <c r="Q32" s="6"/>
      <c r="R32" s="6"/>
      <c r="S32" s="6"/>
      <c r="T32" s="6"/>
    </row>
    <row r="33" spans="4:6" x14ac:dyDescent="0.3">
      <c r="D33" t="s">
        <v>23</v>
      </c>
      <c r="E33" t="s">
        <v>10</v>
      </c>
      <c r="F33">
        <f>F10</f>
        <v>25417</v>
      </c>
    </row>
    <row r="34" spans="4:6" x14ac:dyDescent="0.3">
      <c r="D34" t="s">
        <v>23</v>
      </c>
      <c r="E34" t="s">
        <v>13</v>
      </c>
      <c r="F34">
        <f>F13</f>
        <v>15609</v>
      </c>
    </row>
    <row r="35" spans="4:6" x14ac:dyDescent="0.3">
      <c r="D35" t="s">
        <v>23</v>
      </c>
      <c r="E35" t="s">
        <v>16</v>
      </c>
      <c r="F35">
        <f>F16</f>
        <v>10918</v>
      </c>
    </row>
    <row r="36" spans="4:6" x14ac:dyDescent="0.3">
      <c r="D36" t="s">
        <v>22</v>
      </c>
      <c r="E36" s="2" t="s">
        <v>10</v>
      </c>
      <c r="F36" s="4">
        <f>F33+(F35/2)</f>
        <v>30876</v>
      </c>
    </row>
    <row r="37" spans="4:6" x14ac:dyDescent="0.3">
      <c r="D37" t="s">
        <v>22</v>
      </c>
      <c r="E37" s="2" t="s">
        <v>13</v>
      </c>
      <c r="F37" s="4">
        <f>F34+(F35/2)</f>
        <v>21068</v>
      </c>
    </row>
    <row r="39" spans="4:6" x14ac:dyDescent="0.3">
      <c r="E39" s="1" t="s">
        <v>17</v>
      </c>
    </row>
    <row r="40" spans="4:6" x14ac:dyDescent="0.3">
      <c r="D40" t="s">
        <v>23</v>
      </c>
      <c r="E40" t="s">
        <v>11</v>
      </c>
      <c r="F40">
        <f>F11</f>
        <v>1460</v>
      </c>
    </row>
    <row r="41" spans="4:6" x14ac:dyDescent="0.3">
      <c r="D41" t="s">
        <v>23</v>
      </c>
      <c r="E41" t="s">
        <v>14</v>
      </c>
      <c r="F41">
        <f>F14</f>
        <v>1425</v>
      </c>
    </row>
    <row r="42" spans="4:6" x14ac:dyDescent="0.3">
      <c r="D42" t="s">
        <v>23</v>
      </c>
      <c r="E42" t="s">
        <v>17</v>
      </c>
      <c r="F42">
        <f>F17</f>
        <v>6868</v>
      </c>
    </row>
    <row r="43" spans="4:6" x14ac:dyDescent="0.3">
      <c r="D43" t="s">
        <v>22</v>
      </c>
      <c r="E43" s="2" t="s">
        <v>11</v>
      </c>
      <c r="F43" s="4">
        <f>F40+(F42/2)</f>
        <v>4894</v>
      </c>
    </row>
    <row r="44" spans="4:6" x14ac:dyDescent="0.3">
      <c r="D44" t="s">
        <v>22</v>
      </c>
      <c r="E44" s="2" t="s">
        <v>14</v>
      </c>
      <c r="F44" s="4">
        <f>F41+(F42/2)</f>
        <v>4859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8E81-B25C-4FFA-8826-4D0580ACD26E}">
  <dimension ref="A1:C15"/>
  <sheetViews>
    <sheetView tabSelected="1" workbookViewId="0">
      <selection activeCell="C20" sqref="C20"/>
    </sheetView>
  </sheetViews>
  <sheetFormatPr defaultRowHeight="14.4" x14ac:dyDescent="0.3"/>
  <cols>
    <col min="1" max="1" width="16.109375" customWidth="1"/>
    <col min="2" max="2" width="13" customWidth="1"/>
    <col min="3" max="3" width="15.88671875" customWidth="1"/>
  </cols>
  <sheetData>
    <row r="1" spans="1:3" x14ac:dyDescent="0.3">
      <c r="A1" s="7" t="s">
        <v>0</v>
      </c>
      <c r="B1" s="8" t="s">
        <v>1</v>
      </c>
      <c r="C1" s="9" t="s">
        <v>25</v>
      </c>
    </row>
    <row r="2" spans="1:3" x14ac:dyDescent="0.3">
      <c r="A2" s="17" t="s">
        <v>27</v>
      </c>
      <c r="B2" s="3">
        <f>archetypes!R2</f>
        <v>35529</v>
      </c>
      <c r="C2" s="13">
        <f>archetypes!S2</f>
        <v>8339.5</v>
      </c>
    </row>
    <row r="3" spans="1:3" x14ac:dyDescent="0.3">
      <c r="A3" s="17" t="s">
        <v>20</v>
      </c>
      <c r="B3" s="3">
        <f>archetypes!R3</f>
        <v>30448</v>
      </c>
      <c r="C3" s="13">
        <f>archetypes!S3</f>
        <v>3697.6666666666665</v>
      </c>
    </row>
    <row r="4" spans="1:3" x14ac:dyDescent="0.3">
      <c r="A4" s="17" t="s">
        <v>28</v>
      </c>
      <c r="B4" s="3">
        <f>archetypes!R4</f>
        <v>4859</v>
      </c>
      <c r="C4" s="13">
        <f>archetypes!S4</f>
        <v>30</v>
      </c>
    </row>
    <row r="5" spans="1:3" x14ac:dyDescent="0.3">
      <c r="A5" s="17" t="s">
        <v>29</v>
      </c>
      <c r="B5" s="3">
        <f>archetypes!R5</f>
        <v>45367</v>
      </c>
      <c r="C5" s="13">
        <f>archetypes!S5</f>
        <v>4926</v>
      </c>
    </row>
    <row r="6" spans="1:3" x14ac:dyDescent="0.3">
      <c r="A6" s="17" t="s">
        <v>30</v>
      </c>
      <c r="B6" s="3">
        <f>archetypes!R6</f>
        <v>4894</v>
      </c>
      <c r="C6" s="13">
        <f>archetypes!S6</f>
        <v>385</v>
      </c>
    </row>
    <row r="7" spans="1:3" x14ac:dyDescent="0.3">
      <c r="A7" s="17" t="s">
        <v>31</v>
      </c>
      <c r="B7" s="3">
        <f>archetypes!R7</f>
        <v>21068</v>
      </c>
      <c r="C7" s="13">
        <f>archetypes!S7</f>
        <v>4819</v>
      </c>
    </row>
    <row r="8" spans="1:3" x14ac:dyDescent="0.3">
      <c r="A8" s="17" t="s">
        <v>3</v>
      </c>
      <c r="B8" s="3">
        <f>archetypes!R8</f>
        <v>17001</v>
      </c>
      <c r="C8" s="13">
        <f>archetypes!S8</f>
        <v>21349</v>
      </c>
    </row>
    <row r="9" spans="1:3" x14ac:dyDescent="0.3">
      <c r="A9" s="17" t="s">
        <v>32</v>
      </c>
      <c r="B9" s="3">
        <f>archetypes!R9</f>
        <v>30876</v>
      </c>
      <c r="C9" s="13">
        <f>archetypes!S9</f>
        <v>9060</v>
      </c>
    </row>
    <row r="10" spans="1:3" x14ac:dyDescent="0.3">
      <c r="A10" s="17" t="s">
        <v>5</v>
      </c>
      <c r="B10" s="3">
        <f>archetypes!R10</f>
        <v>27446</v>
      </c>
      <c r="C10" s="13">
        <f>archetypes!S10</f>
        <v>42502</v>
      </c>
    </row>
    <row r="11" spans="1:3" x14ac:dyDescent="0.3">
      <c r="A11" s="17" t="s">
        <v>26</v>
      </c>
      <c r="B11" s="3">
        <f>archetypes!R11</f>
        <v>109739</v>
      </c>
      <c r="C11" s="13">
        <f>archetypes!S11</f>
        <v>23119</v>
      </c>
    </row>
    <row r="12" spans="1:3" x14ac:dyDescent="0.3">
      <c r="A12" s="17" t="s">
        <v>33</v>
      </c>
      <c r="B12" s="3">
        <f>archetypes!R12</f>
        <v>24716</v>
      </c>
      <c r="C12" s="13">
        <f>archetypes!S12</f>
        <v>42253</v>
      </c>
    </row>
    <row r="13" spans="1:3" x14ac:dyDescent="0.3">
      <c r="A13" s="17" t="s">
        <v>7</v>
      </c>
      <c r="B13" s="3">
        <f>archetypes!R13</f>
        <v>61095</v>
      </c>
      <c r="C13" s="13">
        <f>archetypes!S13</f>
        <v>143479</v>
      </c>
    </row>
    <row r="14" spans="1:3" x14ac:dyDescent="0.3">
      <c r="A14" s="17" t="s">
        <v>2</v>
      </c>
      <c r="B14" s="3">
        <f>archetypes!R14</f>
        <v>17547</v>
      </c>
      <c r="C14" s="13">
        <f>archetypes!S14</f>
        <v>28810</v>
      </c>
    </row>
    <row r="15" spans="1:3" ht="15" thickBot="1" x14ac:dyDescent="0.35">
      <c r="A15" s="18" t="s">
        <v>34</v>
      </c>
      <c r="B15" s="19">
        <f>archetypes!R15</f>
        <v>53131</v>
      </c>
      <c r="C15" s="20">
        <f>archetypes!S15</f>
        <v>88455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archetypes</vt:lpstr>
      <vt:lpstr>stocksize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Zune</dc:creator>
  <cp:lastModifiedBy>May Zune</cp:lastModifiedBy>
  <dcterms:created xsi:type="dcterms:W3CDTF">2026-05-14T07:54:51Z</dcterms:created>
  <dcterms:modified xsi:type="dcterms:W3CDTF">2026-05-14T17:29:20Z</dcterms:modified>
</cp:coreProperties>
</file>